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io.duracic\Desktop\"/>
    </mc:Choice>
  </mc:AlternateContent>
  <xr:revisionPtr revIDLastSave="0" documentId="8_{6CA621EB-A567-4F25-A90A-AD9B915BA78D}" xr6:coauthVersionLast="47" xr6:coauthVersionMax="47" xr10:uidLastSave="{00000000-0000-0000-0000-000000000000}"/>
  <bookViews>
    <workbookView xWindow="-108" yWindow="-108" windowWidth="23256" windowHeight="13896" xr2:uid="{179FD5BE-EAE6-4919-B567-36FEEA9009F0}"/>
  </bookViews>
  <sheets>
    <sheet name="Part List 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E7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E8" i="3"/>
  <c r="F8" i="3"/>
</calcChain>
</file>

<file path=xl/sharedStrings.xml><?xml version="1.0" encoding="utf-8"?>
<sst xmlns="http://schemas.openxmlformats.org/spreadsheetml/2006/main" count="333" uniqueCount="265">
  <si>
    <t>Project:</t>
  </si>
  <si>
    <t>Variant:</t>
  </si>
  <si>
    <t>Print Date:</t>
  </si>
  <si>
    <t>Report Date:</t>
  </si>
  <si>
    <t>Approved</t>
  </si>
  <si>
    <t>Notes</t>
  </si>
  <si>
    <t>#</t>
  </si>
  <si>
    <t xml:space="preserve"> </t>
  </si>
  <si>
    <t>Module:</t>
  </si>
  <si>
    <t>Production</t>
  </si>
  <si>
    <t>93</t>
  </si>
  <si>
    <t>Designator</t>
  </si>
  <si>
    <t>U9</t>
  </si>
  <si>
    <t>U8</t>
  </si>
  <si>
    <t>U7</t>
  </si>
  <si>
    <t>U5</t>
  </si>
  <si>
    <t>U3</t>
  </si>
  <si>
    <t>U2</t>
  </si>
  <si>
    <t>U1, U4</t>
  </si>
  <si>
    <t>TVS2</t>
  </si>
  <si>
    <t>TVS1</t>
  </si>
  <si>
    <t>SW2</t>
  </si>
  <si>
    <t>SW1, SW3</t>
  </si>
  <si>
    <t>R19</t>
  </si>
  <si>
    <t>R18</t>
  </si>
  <si>
    <t>R17</t>
  </si>
  <si>
    <t>R14</t>
  </si>
  <si>
    <t>R13</t>
  </si>
  <si>
    <t>R7, R8, R9</t>
  </si>
  <si>
    <t>R6</t>
  </si>
  <si>
    <t>R5, R21</t>
  </si>
  <si>
    <t>R3</t>
  </si>
  <si>
    <t>R2, R4, R10, R11, R12, R15, R16</t>
  </si>
  <si>
    <t>R1, R20</t>
  </si>
  <si>
    <t>PCB1</t>
  </si>
  <si>
    <t>OBJ1</t>
  </si>
  <si>
    <t>MOD1R</t>
  </si>
  <si>
    <t>MOD1L</t>
  </si>
  <si>
    <t>L3</t>
  </si>
  <si>
    <t>L2</t>
  </si>
  <si>
    <t>L1</t>
  </si>
  <si>
    <t>J7, J8</t>
  </si>
  <si>
    <t>J6</t>
  </si>
  <si>
    <t>J5</t>
  </si>
  <si>
    <t>J4</t>
  </si>
  <si>
    <t>J1, J2, J3</t>
  </si>
  <si>
    <t>F2</t>
  </si>
  <si>
    <t>F1</t>
  </si>
  <si>
    <t>DS3, DS6, DS7, DS8</t>
  </si>
  <si>
    <t>DS1, DS2, DS4, DS5</t>
  </si>
  <si>
    <t>DOC1</t>
  </si>
  <si>
    <t>D1</t>
  </si>
  <si>
    <t>C16, C17, C20, C21, C22, C23, C24, C27, C29</t>
  </si>
  <si>
    <t>C6, C7, C8</t>
  </si>
  <si>
    <t>C5, C9, C11, C12, C13, C14, C15, C18, C19, C25, C26, C28, C30, C31, C32</t>
  </si>
  <si>
    <t>C1, C2, C33, C34</t>
  </si>
  <si>
    <t>ASS1</t>
  </si>
  <si>
    <t>Quantity</t>
  </si>
  <si>
    <t>BL Part Number</t>
  </si>
  <si>
    <t>2006-845</t>
  </si>
  <si>
    <t>2007-480</t>
  </si>
  <si>
    <t>2007-481</t>
  </si>
  <si>
    <t>2009-148</t>
  </si>
  <si>
    <t>2002-405</t>
  </si>
  <si>
    <t>2005-527</t>
  </si>
  <si>
    <t>2007-455</t>
  </si>
  <si>
    <t>2007-452</t>
  </si>
  <si>
    <t>2007-378</t>
  </si>
  <si>
    <t>2007-124</t>
  </si>
  <si>
    <t>2007-456</t>
  </si>
  <si>
    <t>2002-832</t>
  </si>
  <si>
    <t>2000-727</t>
  </si>
  <si>
    <t>2001-566</t>
  </si>
  <si>
    <t>2001-422</t>
  </si>
  <si>
    <t>2000-730</t>
  </si>
  <si>
    <t>2001-170</t>
  </si>
  <si>
    <t>2001-157</t>
  </si>
  <si>
    <t>2004-098</t>
  </si>
  <si>
    <t>2001-420</t>
  </si>
  <si>
    <t>2000-729</t>
  </si>
  <si>
    <t>2007-472</t>
  </si>
  <si>
    <t>2201-139</t>
  </si>
  <si>
    <t>6020-113</t>
  </si>
  <si>
    <t>2010-424</t>
  </si>
  <si>
    <t>2010-423</t>
  </si>
  <si>
    <t>2007-482</t>
  </si>
  <si>
    <t>2007-451</t>
  </si>
  <si>
    <t>2007-483</t>
  </si>
  <si>
    <t>2002-058</t>
  </si>
  <si>
    <t>2007-460</t>
  </si>
  <si>
    <t>2007-458</t>
  </si>
  <si>
    <t>2008-437</t>
  </si>
  <si>
    <t>2007-662</t>
  </si>
  <si>
    <t>2007-469</t>
  </si>
  <si>
    <t>2007-468</t>
  </si>
  <si>
    <t>2007-711</t>
  </si>
  <si>
    <t>2007-712</t>
  </si>
  <si>
    <t>100275</t>
  </si>
  <si>
    <t>2010-391</t>
  </si>
  <si>
    <t>2006-222</t>
  </si>
  <si>
    <t>2001-377</t>
  </si>
  <si>
    <t>2000-908</t>
  </si>
  <si>
    <t>2006-223</t>
  </si>
  <si>
    <t>6000-168</t>
  </si>
  <si>
    <t>Comment</t>
  </si>
  <si>
    <t>AP2139AK-3.3TRG1</t>
  </si>
  <si>
    <t>TPS62748YFPT</t>
  </si>
  <si>
    <t>MAX17225ELT+</t>
  </si>
  <si>
    <t>NX3L2467GU,115</t>
  </si>
  <si>
    <t>TPS63020DSJR</t>
  </si>
  <si>
    <t>BQ24210DQCT</t>
  </si>
  <si>
    <t>TXS0102DCUR</t>
  </si>
  <si>
    <t>PESD5V0L5UV,125</t>
  </si>
  <si>
    <t>ESDA7P120-1U1M</t>
  </si>
  <si>
    <t>EVP-BB2A9B000</t>
  </si>
  <si>
    <t>CJS-1200TA</t>
  </si>
  <si>
    <t>10M</t>
  </si>
  <si>
    <t>100k</t>
  </si>
  <si>
    <t>82k</t>
  </si>
  <si>
    <t>180k</t>
  </si>
  <si>
    <t>1M1</t>
  </si>
  <si>
    <t>22R</t>
  </si>
  <si>
    <t>15k</t>
  </si>
  <si>
    <t>5k1</t>
  </si>
  <si>
    <t>470R</t>
  </si>
  <si>
    <t>10k</t>
  </si>
  <si>
    <t>100R</t>
  </si>
  <si>
    <t>PCB Part Number</t>
  </si>
  <si>
    <t>9774025151R</t>
  </si>
  <si>
    <t>00536</t>
  </si>
  <si>
    <t>00542</t>
  </si>
  <si>
    <t>2u2</t>
  </si>
  <si>
    <t>1.5uH</t>
  </si>
  <si>
    <t>SM04B-SRSS-TB(LF)(SN)</t>
  </si>
  <si>
    <t>MDT420E01001</t>
  </si>
  <si>
    <t>SF72S006VBDR2500</t>
  </si>
  <si>
    <t>12402012E212A</t>
  </si>
  <si>
    <t>S2BPHSM4TBLFSN</t>
  </si>
  <si>
    <t>046703.5NR</t>
  </si>
  <si>
    <t>SF-0603F150-2</t>
  </si>
  <si>
    <t>STPS3H100U</t>
  </si>
  <si>
    <t>FSV1045V</t>
  </si>
  <si>
    <t>Electronic design doc number</t>
  </si>
  <si>
    <t>D5V0F4U6V-7</t>
  </si>
  <si>
    <t>22u</t>
  </si>
  <si>
    <t>33p</t>
  </si>
  <si>
    <t>100n</t>
  </si>
  <si>
    <t>1u</t>
  </si>
  <si>
    <t>KNOB M2.5x4-INOX</t>
  </si>
  <si>
    <t>Description</t>
  </si>
  <si>
    <t>IC REG LINEAR 3.3V 250MA SOT23-5</t>
  </si>
  <si>
    <t>IC REG BUCK PROG 300MA 8DSBGA</t>
  </si>
  <si>
    <t>IC REG BOOST ADJ 1A NANO 6UDFN</t>
  </si>
  <si>
    <t>IC ANALOG SWITCH DPDTX2 16XQFN</t>
  </si>
  <si>
    <t>I.C. DC/DC CONVERTER TPS63020DSJR TEXAS VSON14 SMT</t>
  </si>
  <si>
    <t>INTEGRATO BQ24210DQCT WSON10 TEXAS SMT</t>
  </si>
  <si>
    <t>2-Bit Bidirectional Voltage-Level Shifter for Open-Drain and Push-Pull Application 8-VSSOP -40 to 85</t>
  </si>
  <si>
    <t>PESD Series 25 W 5 V Uni-Directional Fivefold ESD Protection Diode Array SOT-666</t>
  </si>
  <si>
    <t>TVS DIODE 5.5VWM 11.5VC 1610</t>
  </si>
  <si>
    <t>SWITCH TACTILE SPST-NO 0.02A 15V</t>
  </si>
  <si>
    <t>Switch Slide N.O./N.C. SPDT Raised Slide 0.1A 24VDC J-Hook SMD Embossed T/R</t>
  </si>
  <si>
    <t>Resistor 10M ±1% 0402</t>
  </si>
  <si>
    <t>Resistor 100k ±1% 0402</t>
  </si>
  <si>
    <t>Resistor 82k ±1% 0402</t>
  </si>
  <si>
    <t>Resistor 180k ±1% 0402</t>
  </si>
  <si>
    <t>Resistor 1M1 ±1% 0402</t>
  </si>
  <si>
    <t>Resistor 22R ±1% 0402</t>
  </si>
  <si>
    <t>Resistor 15k ±1% 0402</t>
  </si>
  <si>
    <t>Resistor 5k1 ±1% 0402</t>
  </si>
  <si>
    <t>Resistor 470R ±1% 0402</t>
  </si>
  <si>
    <t>Resistor 10k ±1% 0402</t>
  </si>
  <si>
    <t>Resistor array 100R 5% 2506</t>
  </si>
  <si>
    <t>DISTANZ. CIL. METALLO 5.1X2.5 9774025151R W.E SMT</t>
  </si>
  <si>
    <t>Socket 12-Pin, 0.100 in</t>
  </si>
  <si>
    <t>Socket 16-Pin, 0.100 in</t>
  </si>
  <si>
    <t>FIXED IND 2.2UH 1.5A 204MOHM SMD</t>
  </si>
  <si>
    <t>Fixed Ind 1.5UH 7.3A 15.4 Mohm</t>
  </si>
  <si>
    <t>Power Inductors - SMD 2.2Uh Shld 8A 23.5mOhms AECQ2</t>
  </si>
  <si>
    <t>CONN HEADER SH 4POS SIDE 1MM TIN</t>
  </si>
  <si>
    <t>CONN. M.2 75P M/90° P=0.5 MDT420E01001 AMPHENOL SMT</t>
  </si>
  <si>
    <t>CONN. NANOSIM 8P F/90° PUSH-PUSH SF72S006VBAR2500 JAE ELECTRONICS SMT</t>
  </si>
  <si>
    <t>CONN RCP USB2.0 TYP C 24P SMD RA</t>
  </si>
  <si>
    <t>PH SMT SIDE ENTRY HDR 2W</t>
  </si>
  <si>
    <t>Fuse Chip Very Fast Acting 3.5A 32V SMD Solder Pad 0603 T/R CSA</t>
  </si>
  <si>
    <t>FUSIBILE RAPIDO 1.5A 32V 0603 SF-0603F150-2 BOURNS SMT</t>
  </si>
  <si>
    <t>DIODO SCHOTTKY 3A 100V STPS3H100U SMB SMT</t>
  </si>
  <si>
    <t>DIODO SCHOTTKY 10A 45V FSV1045V TO277-3 SMT</t>
  </si>
  <si>
    <t>TVS DIODE 5.5VWM 12VC SOT563</t>
  </si>
  <si>
    <t>Capacitor ceramic 22u ±10% X5R 16V 0805</t>
  </si>
  <si>
    <t>Capacitor ceramic 33p ±5% C0G 50V 0402</t>
  </si>
  <si>
    <t>Capacitor ceramic 100n ±10% X7R 16V 0402</t>
  </si>
  <si>
    <t>Capacitor ceramic 1u ±10% X5R 25V</t>
  </si>
  <si>
    <t>VITE TCEI 2.5X4 ESAGONO INCASSATO A2 INOX</t>
  </si>
  <si>
    <t>Manufacturer</t>
  </si>
  <si>
    <t>Diodes Incorporated</t>
  </si>
  <si>
    <t>Texas Instruments</t>
  </si>
  <si>
    <t>Maxim</t>
  </si>
  <si>
    <t>NXP</t>
  </si>
  <si>
    <t>Nexperia</t>
  </si>
  <si>
    <t>STMicroelectronics</t>
  </si>
  <si>
    <t>Panasonic Electronic Components</t>
  </si>
  <si>
    <t>Nidec Copal</t>
  </si>
  <si>
    <t>N/A</t>
  </si>
  <si>
    <t>Yageo</t>
  </si>
  <si>
    <t>CTS Resistor Products</t>
  </si>
  <si>
    <t>Byte Lab</t>
  </si>
  <si>
    <t>Würth Elektronik</t>
  </si>
  <si>
    <t>4UCON</t>
  </si>
  <si>
    <t>Murata Electronics</t>
  </si>
  <si>
    <t>Cyntec</t>
  </si>
  <si>
    <t>JST Sales America Inc.</t>
  </si>
  <si>
    <t>Amphenol ICC (FCI)</t>
  </si>
  <si>
    <t>JAE Electronics</t>
  </si>
  <si>
    <t>Amphenol</t>
  </si>
  <si>
    <t>JST</t>
  </si>
  <si>
    <t>Littelfuse Inc.</t>
  </si>
  <si>
    <t>Bourns Inc.</t>
  </si>
  <si>
    <t>onsemi</t>
  </si>
  <si>
    <t>KRAFTBERG</t>
  </si>
  <si>
    <t>Manufacturer Part Number</t>
  </si>
  <si>
    <t>RC0402FR-0782KL</t>
  </si>
  <si>
    <t>742C163101JP</t>
  </si>
  <si>
    <t>1285AS-H-2R2M=P2</t>
  </si>
  <si>
    <t>VCHA042A-1R5MS6</t>
  </si>
  <si>
    <t>MDT420E03001</t>
  </si>
  <si>
    <t>S2B-PH-SM4-K-TB (LF)(SN)</t>
  </si>
  <si>
    <t>CC0603KRX5R8BB105</t>
  </si>
  <si>
    <t>M2.5X4/D7985-A2</t>
  </si>
  <si>
    <t>Footprint</t>
  </si>
  <si>
    <t>SOT-23-5(M5)</t>
  </si>
  <si>
    <t>TPS62748YFPT-DSBGA4x2</t>
  </si>
  <si>
    <t>MAX17225ELT+UDFN</t>
  </si>
  <si>
    <t>QFN40P180X260X55-16N</t>
  </si>
  <si>
    <t>TI PVSON-14 DSJ</t>
  </si>
  <si>
    <t>WSON10-EXP</t>
  </si>
  <si>
    <t>SOP50P310X90-8N</t>
  </si>
  <si>
    <t>SOT666</t>
  </si>
  <si>
    <t>DIOC_160X100X60</t>
  </si>
  <si>
    <t>SW_EVP-BB2A9B000</t>
  </si>
  <si>
    <t>SW_CJS-1200TA</t>
  </si>
  <si>
    <t>R-0402</t>
  </si>
  <si>
    <t>RESCAV80P640X160X70-16N</t>
  </si>
  <si>
    <t>DIST-WASMSIM0250</t>
  </si>
  <si>
    <t>12PIN_254MM</t>
  </si>
  <si>
    <t>16PIN_254MM</t>
  </si>
  <si>
    <t>1285AS-H-2R2M=P2-INDC2016X100N</t>
  </si>
  <si>
    <t>IND_XFL4020-222MEC</t>
  </si>
  <si>
    <t>JST SM04B-SRSS-TB</t>
  </si>
  <si>
    <t>J-75-0050-MOS-M2</t>
  </si>
  <si>
    <t>J-NANOSIM-SF72S006VBA</t>
  </si>
  <si>
    <t>CONN_12402012E212A</t>
  </si>
  <si>
    <t>JST S2B-PH-SM4-TB</t>
  </si>
  <si>
    <t>FS-0603</t>
  </si>
  <si>
    <t>SMB</t>
  </si>
  <si>
    <t>TO277-3</t>
  </si>
  <si>
    <t>SOT-563</t>
  </si>
  <si>
    <t>C-0805</t>
  </si>
  <si>
    <t>C-0402</t>
  </si>
  <si>
    <t>C-0603</t>
  </si>
  <si>
    <t>Coilcraft</t>
  </si>
  <si>
    <t>XFL4020-222MEC</t>
  </si>
  <si>
    <t>A.Duracic</t>
  </si>
  <si>
    <t>BOM-3001-069-001</t>
  </si>
  <si>
    <t>Notecard v2</t>
  </si>
  <si>
    <t>Notecarrier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</si>
</sst>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-C09]dd\-mmm\-yy;@"/>
    <numFmt numFmtId="173" formatCode="[$-409]h:mm:ss\ AM/PM;@"/>
  </numFmts>
  <fonts count="18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  <charset val="238"/>
    </font>
    <font>
      <b/>
      <sz val="12"/>
      <color indexed="13"/>
      <name val="Arial"/>
      <family val="2"/>
      <charset val="238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  <charset val="238"/>
    </font>
    <font>
      <sz val="10"/>
      <color indexed="13"/>
      <name val="Klavika CH Regular"/>
      <family val="3"/>
    </font>
    <font>
      <sz val="10"/>
      <name val="Roboto"/>
    </font>
    <font>
      <sz val="10"/>
      <color rgb="FFFF0000"/>
      <name val="Klavika CH Regular"/>
      <family val="3"/>
    </font>
    <font>
      <b/>
      <sz val="12"/>
      <color theme="1"/>
      <name val="Arial"/>
      <family val="2"/>
      <charset val="238"/>
    </font>
    <font>
      <sz val="10"/>
      <color indexed="10"/>
      <name val="Roboto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62D6AD"/>
        <bgColor indexed="64"/>
      </patternFill>
    </fill>
    <fill>
      <patternFill patternType="solid">
        <fgColor rgb="FFE7F9F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2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7" fillId="2" borderId="0" xfId="0" applyFont="1" applyFill="1" applyBorder="1" applyAlignment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/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 applyAlignment="1"/>
    <xf numFmtId="0" fontId="7" fillId="2" borderId="4" xfId="0" applyFont="1" applyFill="1" applyBorder="1" applyAlignment="1"/>
    <xf numFmtId="0" fontId="8" fillId="2" borderId="4" xfId="0" applyFont="1" applyFill="1" applyBorder="1" applyAlignment="1">
      <alignment horizontal="left"/>
    </xf>
    <xf numFmtId="0" fontId="9" fillId="2" borderId="0" xfId="0" applyFont="1" applyFill="1" applyBorder="1" applyAlignment="1"/>
    <xf numFmtId="172" fontId="8" fillId="2" borderId="4" xfId="0" applyNumberFormat="1" applyFont="1" applyFill="1" applyBorder="1" applyAlignment="1">
      <alignment horizontal="left"/>
    </xf>
    <xf numFmtId="173" fontId="8" fillId="2" borderId="4" xfId="0" applyNumberFormat="1" applyFont="1" applyFill="1" applyBorder="1" applyAlignment="1">
      <alignment horizontal="left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0" fillId="0" borderId="0" xfId="0" applyBorder="1" applyAlignment="1">
      <alignment vertical="top"/>
    </xf>
    <xf numFmtId="0" fontId="7" fillId="2" borderId="3" xfId="0" applyFont="1" applyFill="1" applyBorder="1" applyAlignment="1"/>
    <xf numFmtId="0" fontId="8" fillId="2" borderId="3" xfId="0" applyFont="1" applyFill="1" applyBorder="1" applyAlignment="1"/>
    <xf numFmtId="0" fontId="9" fillId="2" borderId="3" xfId="0" applyFont="1" applyFill="1" applyBorder="1" applyAlignment="1"/>
    <xf numFmtId="0" fontId="0" fillId="0" borderId="3" xfId="0" applyBorder="1" applyAlignment="1">
      <alignment vertical="top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4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3" fillId="3" borderId="9" xfId="0" applyFont="1" applyFill="1" applyBorder="1"/>
    <xf numFmtId="0" fontId="15" fillId="3" borderId="0" xfId="0" applyFont="1" applyFill="1"/>
    <xf numFmtId="0" fontId="13" fillId="3" borderId="1" xfId="0" applyFont="1" applyFill="1" applyBorder="1"/>
    <xf numFmtId="0" fontId="13" fillId="3" borderId="2" xfId="0" applyFont="1" applyFill="1" applyBorder="1"/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5" fillId="3" borderId="12" xfId="0" applyFont="1" applyFill="1" applyBorder="1" applyAlignment="1"/>
    <xf numFmtId="0" fontId="5" fillId="3" borderId="13" xfId="0" applyFont="1" applyFill="1" applyBorder="1" applyAlignmen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16" fillId="3" borderId="10" xfId="0" quotePrefix="1" applyFont="1" applyFill="1" applyBorder="1" applyAlignment="1">
      <alignment vertical="center"/>
    </xf>
    <xf numFmtId="0" fontId="11" fillId="2" borderId="13" xfId="0" quotePrefix="1" applyFont="1" applyFill="1" applyBorder="1" applyAlignment="1">
      <alignment horizontal="right" vertical="center" wrapText="1"/>
    </xf>
    <xf numFmtId="0" fontId="12" fillId="0" borderId="7" xfId="0" applyNumberFormat="1" applyFont="1" applyFill="1" applyBorder="1" applyAlignment="1" applyProtection="1">
      <alignment horizontal="left" vertical="top"/>
      <protection locked="0"/>
    </xf>
    <xf numFmtId="0" fontId="12" fillId="0" borderId="4" xfId="0" applyNumberFormat="1" applyFont="1" applyFill="1" applyBorder="1" applyAlignment="1" applyProtection="1">
      <alignment horizontal="left" vertical="top"/>
      <protection locked="0"/>
    </xf>
    <xf numFmtId="0" fontId="7" fillId="2" borderId="20" xfId="0" quotePrefix="1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0" xfId="0" quotePrefix="1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17" fillId="4" borderId="18" xfId="0" applyFont="1" applyFill="1" applyBorder="1" applyAlignment="1">
      <alignment horizontal="left" vertical="top"/>
    </xf>
    <xf numFmtId="49" fontId="14" fillId="4" borderId="19" xfId="0" applyNumberFormat="1" applyFont="1" applyFill="1" applyBorder="1" applyAlignment="1">
      <alignment vertical="top"/>
    </xf>
    <xf numFmtId="49" fontId="17" fillId="4" borderId="19" xfId="0" applyNumberFormat="1" applyFont="1" applyFill="1" applyBorder="1" applyAlignment="1">
      <alignment horizontal="right" vertical="top"/>
    </xf>
    <xf numFmtId="49" fontId="17" fillId="4" borderId="19" xfId="0" applyNumberFormat="1" applyFont="1" applyFill="1" applyBorder="1" applyAlignment="1">
      <alignment horizontal="left" vertical="top"/>
    </xf>
    <xf numFmtId="49" fontId="17" fillId="4" borderId="19" xfId="0" applyNumberFormat="1" applyFont="1" applyFill="1" applyBorder="1" applyAlignment="1">
      <alignment vertical="top"/>
    </xf>
    <xf numFmtId="0" fontId="17" fillId="4" borderId="19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1363980</xdr:colOff>
      <xdr:row>0</xdr:row>
      <xdr:rowOff>121920</xdr:rowOff>
    </xdr:from>
    <xdr:to>
      <xdr:col>9</xdr:col>
      <xdr:colOff>293913</xdr:colOff>
      <xdr:row>10</xdr:row>
      <xdr:rowOff>0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id="{9ADF5F70-5D8F-AD41-AED1-831F70B72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21920"/>
          <a:ext cx="361188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36E4-5487-435D-98F0-92DC9CE8EACE}">
  <sheetPr codeName="Sheet1">
    <pageSetUpPr fitToPage="1"/>
  </sheetPr>
  <dimension ref="A1:K63"/>
  <sheetViews>
    <sheetView showGridLines="0" tabSelected="1" zoomScale="55" zoomScaleNormal="55" workbookViewId="0">
      <selection activeCell="L16" sqref="L16"/>
    </sheetView>
  </sheetViews>
  <sheetFormatPr defaultColWidth="9.109375" defaultRowHeight="13.2"/>
  <cols>
    <col min="1" max="1" width="3.109375" style="1" customWidth="1"/>
    <col min="2" max="2" width="5.44140625" style="1" customWidth="1"/>
    <col min="3" max="3" width="30.33203125" style="4" customWidth="1"/>
    <col min="4" max="4" width="8.109375" style="4" customWidth="1"/>
    <col min="5" max="5" width="13.33203125" style="4" customWidth="1"/>
    <col min="6" max="6" width="32" style="1" customWidth="1"/>
    <col min="7" max="7" width="89.109375" style="1" customWidth="1"/>
    <col min="8" max="8" width="37.33203125" style="1" customWidth="1"/>
    <col min="9" max="9" width="30.88671875" style="1" customWidth="1"/>
    <col min="10" max="10" width="43.6640625" style="1" customWidth="1"/>
    <col min="11" max="11" width="10" style="1" customWidth="1"/>
    <col min="12" max="16384" width="9.109375" style="1"/>
  </cols>
  <sheetData>
    <row r="1" spans="1:11" ht="14.4" thickBot="1">
      <c r="A1" s="33"/>
      <c r="B1" s="34"/>
      <c r="C1" s="32"/>
      <c r="D1" s="32"/>
      <c r="E1" s="32"/>
      <c r="F1" s="34"/>
      <c r="G1" s="34"/>
      <c r="H1" s="34"/>
      <c r="I1" s="34"/>
      <c r="J1" s="35"/>
      <c r="K1" s="23"/>
    </row>
    <row r="2" spans="1:11" ht="37.5" customHeight="1" thickBot="1">
      <c r="A2" s="38"/>
      <c r="B2" s="21"/>
      <c r="C2" s="21" t="s">
        <v>262</v>
      </c>
      <c r="D2" s="21"/>
      <c r="E2" s="22"/>
      <c r="F2" s="44"/>
      <c r="G2" s="36"/>
      <c r="H2" s="36"/>
      <c r="I2" s="36"/>
      <c r="J2" s="37"/>
    </row>
    <row r="3" spans="1:11" ht="23.25" customHeight="1">
      <c r="A3" s="38"/>
      <c r="B3" s="11"/>
      <c r="C3" s="11" t="s">
        <v>0</v>
      </c>
      <c r="D3" s="11"/>
      <c r="E3" s="12"/>
      <c r="F3" s="48" t="s">
        <v>263</v>
      </c>
      <c r="G3" s="49"/>
      <c r="H3" s="49"/>
      <c r="I3" s="11"/>
      <c r="J3" s="24"/>
    </row>
    <row r="4" spans="1:11" ht="17.25" customHeight="1">
      <c r="A4" s="38"/>
      <c r="B4" s="11"/>
      <c r="C4" s="11" t="s">
        <v>8</v>
      </c>
      <c r="D4" s="11"/>
      <c r="E4" s="12"/>
      <c r="F4" s="50" t="s">
        <v>264</v>
      </c>
      <c r="G4" s="51"/>
      <c r="H4" s="51"/>
      <c r="I4" s="13"/>
      <c r="J4" s="25"/>
    </row>
    <row r="5" spans="1:11" ht="17.25" customHeight="1">
      <c r="A5" s="38"/>
      <c r="B5" s="11"/>
      <c r="C5" s="11" t="s">
        <v>1</v>
      </c>
      <c r="D5" s="11"/>
      <c r="E5" s="12"/>
      <c r="F5" s="50" t="s">
        <v>9</v>
      </c>
      <c r="G5" s="51"/>
      <c r="H5" s="51"/>
      <c r="I5" s="13"/>
      <c r="J5" s="25"/>
    </row>
    <row r="6" spans="1:11">
      <c r="A6" s="38"/>
      <c r="B6" s="16"/>
      <c r="C6" s="16"/>
      <c r="D6" s="16"/>
      <c r="E6" s="14"/>
      <c r="F6" s="17"/>
      <c r="G6" s="15"/>
      <c r="H6" s="13"/>
      <c r="I6" s="13"/>
      <c r="J6" s="25"/>
    </row>
    <row r="7" spans="1:11" ht="15.75" customHeight="1">
      <c r="A7" s="38"/>
      <c r="B7" s="18"/>
      <c r="C7" s="18" t="s">
        <v>3</v>
      </c>
      <c r="D7" s="18"/>
      <c r="E7" s="19">
        <f ca="1">TODAY()</f>
        <v>46049</v>
      </c>
      <c r="F7" s="20">
        <f ca="1">NOW()</f>
        <v>46049.977732638887</v>
      </c>
      <c r="G7" s="18"/>
      <c r="H7" s="18"/>
      <c r="I7" s="18"/>
      <c r="J7" s="26"/>
    </row>
    <row r="8" spans="1:11" ht="15.75" customHeight="1">
      <c r="A8" s="38"/>
      <c r="B8" s="15"/>
      <c r="C8" s="15" t="s">
        <v>2</v>
      </c>
      <c r="D8" s="15"/>
      <c r="E8" s="19">
        <f ca="1">TODAY()</f>
        <v>46049</v>
      </c>
      <c r="F8" s="20">
        <f ca="1">NOW()</f>
        <v>46049.977732638887</v>
      </c>
      <c r="G8" s="18"/>
      <c r="H8" s="18"/>
      <c r="I8" s="18"/>
      <c r="J8" s="26"/>
    </row>
    <row r="9" spans="1:11" s="2" customFormat="1" ht="30.75" customHeight="1">
      <c r="A9" s="38"/>
      <c r="B9" s="40" t="s">
        <v>6</v>
      </c>
      <c r="C9" s="41" t="s">
        <v>11</v>
      </c>
      <c r="D9" s="42" t="s">
        <v>57</v>
      </c>
      <c r="E9" s="41" t="s">
        <v>58</v>
      </c>
      <c r="F9" s="41" t="s">
        <v>104</v>
      </c>
      <c r="G9" s="41" t="s">
        <v>149</v>
      </c>
      <c r="H9" s="41" t="s">
        <v>193</v>
      </c>
      <c r="I9" s="41" t="s">
        <v>219</v>
      </c>
      <c r="J9" s="43" t="s">
        <v>228</v>
      </c>
    </row>
    <row r="10" spans="1:11" s="3" customFormat="1" ht="13.5" customHeight="1">
      <c r="A10" s="38"/>
      <c r="B10" s="52">
        <f t="shared" ref="B10:B54" si="0">ROW(B10) - ROW($B$9)</f>
        <v>1</v>
      </c>
      <c r="C10" s="53" t="s">
        <v>12</v>
      </c>
      <c r="D10" s="54">
        <v>1</v>
      </c>
      <c r="E10" s="55" t="s">
        <v>59</v>
      </c>
      <c r="F10" s="56" t="s">
        <v>105</v>
      </c>
      <c r="G10" s="56" t="s">
        <v>150</v>
      </c>
      <c r="H10" s="56" t="s">
        <v>194</v>
      </c>
      <c r="I10" s="56" t="s">
        <v>105</v>
      </c>
      <c r="J10" s="57" t="s">
        <v>229</v>
      </c>
    </row>
    <row r="11" spans="1:11" s="3" customFormat="1" ht="13.5" customHeight="1">
      <c r="A11" s="38"/>
      <c r="B11" s="52">
        <f t="shared" si="0"/>
        <v>2</v>
      </c>
      <c r="C11" s="56" t="s">
        <v>13</v>
      </c>
      <c r="D11" s="54">
        <v>1</v>
      </c>
      <c r="E11" s="55" t="s">
        <v>60</v>
      </c>
      <c r="F11" s="56" t="s">
        <v>106</v>
      </c>
      <c r="G11" s="56" t="s">
        <v>151</v>
      </c>
      <c r="H11" s="56" t="s">
        <v>195</v>
      </c>
      <c r="I11" s="56" t="s">
        <v>106</v>
      </c>
      <c r="J11" s="57" t="s">
        <v>230</v>
      </c>
    </row>
    <row r="12" spans="1:11" s="3" customFormat="1" ht="13.5" customHeight="1">
      <c r="A12" s="38"/>
      <c r="B12" s="52">
        <f t="shared" si="0"/>
        <v>3</v>
      </c>
      <c r="C12" s="53" t="s">
        <v>14</v>
      </c>
      <c r="D12" s="54">
        <v>1</v>
      </c>
      <c r="E12" s="55" t="s">
        <v>61</v>
      </c>
      <c r="F12" s="56" t="s">
        <v>107</v>
      </c>
      <c r="G12" s="56" t="s">
        <v>152</v>
      </c>
      <c r="H12" s="56" t="s">
        <v>196</v>
      </c>
      <c r="I12" s="56" t="s">
        <v>107</v>
      </c>
      <c r="J12" s="57" t="s">
        <v>231</v>
      </c>
    </row>
    <row r="13" spans="1:11" s="3" customFormat="1" ht="13.5" customHeight="1">
      <c r="A13" s="38"/>
      <c r="B13" s="52">
        <f t="shared" si="0"/>
        <v>4</v>
      </c>
      <c r="C13" s="56" t="s">
        <v>15</v>
      </c>
      <c r="D13" s="54">
        <v>1</v>
      </c>
      <c r="E13" s="55" t="s">
        <v>62</v>
      </c>
      <c r="F13" s="56" t="s">
        <v>108</v>
      </c>
      <c r="G13" s="56" t="s">
        <v>153</v>
      </c>
      <c r="H13" s="56" t="s">
        <v>197</v>
      </c>
      <c r="I13" s="56" t="s">
        <v>108</v>
      </c>
      <c r="J13" s="57" t="s">
        <v>232</v>
      </c>
    </row>
    <row r="14" spans="1:11" s="3" customFormat="1" ht="13.5" customHeight="1">
      <c r="A14" s="38"/>
      <c r="B14" s="52">
        <f t="shared" si="0"/>
        <v>5</v>
      </c>
      <c r="C14" s="53" t="s">
        <v>16</v>
      </c>
      <c r="D14" s="54">
        <v>1</v>
      </c>
      <c r="E14" s="55" t="s">
        <v>63</v>
      </c>
      <c r="F14" s="56" t="s">
        <v>109</v>
      </c>
      <c r="G14" s="56" t="s">
        <v>154</v>
      </c>
      <c r="H14" s="56" t="s">
        <v>195</v>
      </c>
      <c r="I14" s="56" t="s">
        <v>109</v>
      </c>
      <c r="J14" s="57" t="s">
        <v>233</v>
      </c>
    </row>
    <row r="15" spans="1:11" s="3" customFormat="1" ht="13.5" customHeight="1">
      <c r="A15" s="38"/>
      <c r="B15" s="52">
        <f t="shared" si="0"/>
        <v>6</v>
      </c>
      <c r="C15" s="56" t="s">
        <v>17</v>
      </c>
      <c r="D15" s="54">
        <v>1</v>
      </c>
      <c r="E15" s="55" t="s">
        <v>64</v>
      </c>
      <c r="F15" s="56" t="s">
        <v>110</v>
      </c>
      <c r="G15" s="56" t="s">
        <v>155</v>
      </c>
      <c r="H15" s="56" t="s">
        <v>195</v>
      </c>
      <c r="I15" s="56" t="s">
        <v>110</v>
      </c>
      <c r="J15" s="57" t="s">
        <v>234</v>
      </c>
    </row>
    <row r="16" spans="1:11" s="3" customFormat="1" ht="13.5" customHeight="1">
      <c r="A16" s="38"/>
      <c r="B16" s="52">
        <f t="shared" si="0"/>
        <v>7</v>
      </c>
      <c r="C16" s="53" t="s">
        <v>18</v>
      </c>
      <c r="D16" s="54">
        <v>2</v>
      </c>
      <c r="E16" s="55" t="s">
        <v>65</v>
      </c>
      <c r="F16" s="56" t="s">
        <v>111</v>
      </c>
      <c r="G16" s="56" t="s">
        <v>156</v>
      </c>
      <c r="H16" s="56" t="s">
        <v>195</v>
      </c>
      <c r="I16" s="56" t="s">
        <v>111</v>
      </c>
      <c r="J16" s="57" t="s">
        <v>235</v>
      </c>
    </row>
    <row r="17" spans="1:10" s="3" customFormat="1" ht="13.5" customHeight="1">
      <c r="A17" s="38"/>
      <c r="B17" s="52">
        <f t="shared" si="0"/>
        <v>8</v>
      </c>
      <c r="C17" s="56" t="s">
        <v>19</v>
      </c>
      <c r="D17" s="54">
        <v>1</v>
      </c>
      <c r="E17" s="55" t="s">
        <v>66</v>
      </c>
      <c r="F17" s="56" t="s">
        <v>112</v>
      </c>
      <c r="G17" s="56" t="s">
        <v>157</v>
      </c>
      <c r="H17" s="56" t="s">
        <v>198</v>
      </c>
      <c r="I17" s="56" t="s">
        <v>112</v>
      </c>
      <c r="J17" s="57" t="s">
        <v>236</v>
      </c>
    </row>
    <row r="18" spans="1:10" s="3" customFormat="1" ht="13.5" customHeight="1">
      <c r="A18" s="38"/>
      <c r="B18" s="52">
        <f t="shared" si="0"/>
        <v>9</v>
      </c>
      <c r="C18" s="53" t="s">
        <v>20</v>
      </c>
      <c r="D18" s="54">
        <v>1</v>
      </c>
      <c r="E18" s="55" t="s">
        <v>67</v>
      </c>
      <c r="F18" s="56" t="s">
        <v>113</v>
      </c>
      <c r="G18" s="56" t="s">
        <v>158</v>
      </c>
      <c r="H18" s="56" t="s">
        <v>199</v>
      </c>
      <c r="I18" s="56" t="s">
        <v>113</v>
      </c>
      <c r="J18" s="57" t="s">
        <v>237</v>
      </c>
    </row>
    <row r="19" spans="1:10" s="3" customFormat="1" ht="13.5" customHeight="1">
      <c r="A19" s="38"/>
      <c r="B19" s="52">
        <f t="shared" si="0"/>
        <v>10</v>
      </c>
      <c r="C19" s="56" t="s">
        <v>21</v>
      </c>
      <c r="D19" s="54">
        <v>1</v>
      </c>
      <c r="E19" s="55" t="s">
        <v>68</v>
      </c>
      <c r="F19" s="56" t="s">
        <v>114</v>
      </c>
      <c r="G19" s="56" t="s">
        <v>159</v>
      </c>
      <c r="H19" s="56" t="s">
        <v>200</v>
      </c>
      <c r="I19" s="56" t="s">
        <v>114</v>
      </c>
      <c r="J19" s="57" t="s">
        <v>238</v>
      </c>
    </row>
    <row r="20" spans="1:10" s="3" customFormat="1" ht="13.5" customHeight="1">
      <c r="A20" s="38"/>
      <c r="B20" s="52">
        <f t="shared" si="0"/>
        <v>11</v>
      </c>
      <c r="C20" s="53" t="s">
        <v>22</v>
      </c>
      <c r="D20" s="54">
        <v>2</v>
      </c>
      <c r="E20" s="55" t="s">
        <v>69</v>
      </c>
      <c r="F20" s="56" t="s">
        <v>115</v>
      </c>
      <c r="G20" s="56" t="s">
        <v>160</v>
      </c>
      <c r="H20" s="56" t="s">
        <v>201</v>
      </c>
      <c r="I20" s="56" t="s">
        <v>115</v>
      </c>
      <c r="J20" s="57" t="s">
        <v>239</v>
      </c>
    </row>
    <row r="21" spans="1:10" s="3" customFormat="1" ht="13.5" customHeight="1">
      <c r="A21" s="38"/>
      <c r="B21" s="52">
        <f t="shared" si="0"/>
        <v>12</v>
      </c>
      <c r="C21" s="56" t="s">
        <v>23</v>
      </c>
      <c r="D21" s="54">
        <v>1</v>
      </c>
      <c r="E21" s="55" t="s">
        <v>70</v>
      </c>
      <c r="F21" s="56" t="s">
        <v>116</v>
      </c>
      <c r="G21" s="56" t="s">
        <v>161</v>
      </c>
      <c r="H21" s="56" t="s">
        <v>202</v>
      </c>
      <c r="I21" s="56" t="s">
        <v>202</v>
      </c>
      <c r="J21" s="57" t="s">
        <v>240</v>
      </c>
    </row>
    <row r="22" spans="1:10" s="3" customFormat="1" ht="13.5" customHeight="1">
      <c r="A22" s="38"/>
      <c r="B22" s="52">
        <f t="shared" si="0"/>
        <v>13</v>
      </c>
      <c r="C22" s="53" t="s">
        <v>24</v>
      </c>
      <c r="D22" s="54">
        <v>1</v>
      </c>
      <c r="E22" s="55" t="s">
        <v>71</v>
      </c>
      <c r="F22" s="56" t="s">
        <v>117</v>
      </c>
      <c r="G22" s="56" t="s">
        <v>162</v>
      </c>
      <c r="H22" s="56" t="s">
        <v>202</v>
      </c>
      <c r="I22" s="56" t="s">
        <v>202</v>
      </c>
      <c r="J22" s="57" t="s">
        <v>240</v>
      </c>
    </row>
    <row r="23" spans="1:10" s="3" customFormat="1" ht="13.5" customHeight="1">
      <c r="A23" s="38"/>
      <c r="B23" s="52">
        <f t="shared" si="0"/>
        <v>14</v>
      </c>
      <c r="C23" s="56" t="s">
        <v>25</v>
      </c>
      <c r="D23" s="54">
        <v>1</v>
      </c>
      <c r="E23" s="55" t="s">
        <v>72</v>
      </c>
      <c r="F23" s="56" t="s">
        <v>118</v>
      </c>
      <c r="G23" s="56" t="s">
        <v>163</v>
      </c>
      <c r="H23" s="56" t="s">
        <v>203</v>
      </c>
      <c r="I23" s="56" t="s">
        <v>220</v>
      </c>
      <c r="J23" s="57" t="s">
        <v>240</v>
      </c>
    </row>
    <row r="24" spans="1:10" s="3" customFormat="1" ht="13.5" customHeight="1">
      <c r="A24" s="38"/>
      <c r="B24" s="52">
        <f t="shared" si="0"/>
        <v>15</v>
      </c>
      <c r="C24" s="53" t="s">
        <v>26</v>
      </c>
      <c r="D24" s="54">
        <v>1</v>
      </c>
      <c r="E24" s="55" t="s">
        <v>73</v>
      </c>
      <c r="F24" s="56" t="s">
        <v>119</v>
      </c>
      <c r="G24" s="56" t="s">
        <v>164</v>
      </c>
      <c r="H24" s="56" t="s">
        <v>202</v>
      </c>
      <c r="I24" s="56" t="s">
        <v>202</v>
      </c>
      <c r="J24" s="57" t="s">
        <v>240</v>
      </c>
    </row>
    <row r="25" spans="1:10" s="3" customFormat="1" ht="13.5" customHeight="1">
      <c r="A25" s="38"/>
      <c r="B25" s="52">
        <f t="shared" si="0"/>
        <v>16</v>
      </c>
      <c r="C25" s="56" t="s">
        <v>27</v>
      </c>
      <c r="D25" s="54">
        <v>1</v>
      </c>
      <c r="E25" s="55" t="s">
        <v>74</v>
      </c>
      <c r="F25" s="56" t="s">
        <v>120</v>
      </c>
      <c r="G25" s="56" t="s">
        <v>165</v>
      </c>
      <c r="H25" s="56" t="s">
        <v>202</v>
      </c>
      <c r="I25" s="56" t="s">
        <v>202</v>
      </c>
      <c r="J25" s="57" t="s">
        <v>240</v>
      </c>
    </row>
    <row r="26" spans="1:10" s="3" customFormat="1" ht="13.5" customHeight="1">
      <c r="A26" s="38"/>
      <c r="B26" s="52">
        <f t="shared" si="0"/>
        <v>17</v>
      </c>
      <c r="C26" s="53" t="s">
        <v>28</v>
      </c>
      <c r="D26" s="54">
        <v>3</v>
      </c>
      <c r="E26" s="55" t="s">
        <v>75</v>
      </c>
      <c r="F26" s="56" t="s">
        <v>121</v>
      </c>
      <c r="G26" s="56" t="s">
        <v>166</v>
      </c>
      <c r="H26" s="56" t="s">
        <v>202</v>
      </c>
      <c r="I26" s="56" t="s">
        <v>202</v>
      </c>
      <c r="J26" s="57" t="s">
        <v>240</v>
      </c>
    </row>
    <row r="27" spans="1:10" s="3" customFormat="1" ht="13.5" customHeight="1">
      <c r="A27" s="38"/>
      <c r="B27" s="52">
        <f t="shared" si="0"/>
        <v>18</v>
      </c>
      <c r="C27" s="56" t="s">
        <v>29</v>
      </c>
      <c r="D27" s="54">
        <v>1</v>
      </c>
      <c r="E27" s="55" t="s">
        <v>76</v>
      </c>
      <c r="F27" s="56" t="s">
        <v>122</v>
      </c>
      <c r="G27" s="56" t="s">
        <v>167</v>
      </c>
      <c r="H27" s="56" t="s">
        <v>202</v>
      </c>
      <c r="I27" s="56" t="s">
        <v>202</v>
      </c>
      <c r="J27" s="57" t="s">
        <v>240</v>
      </c>
    </row>
    <row r="28" spans="1:10" s="3" customFormat="1" ht="13.5" customHeight="1">
      <c r="A28" s="38"/>
      <c r="B28" s="52">
        <f t="shared" si="0"/>
        <v>19</v>
      </c>
      <c r="C28" s="53" t="s">
        <v>30</v>
      </c>
      <c r="D28" s="54">
        <v>2</v>
      </c>
      <c r="E28" s="55" t="s">
        <v>77</v>
      </c>
      <c r="F28" s="56" t="s">
        <v>123</v>
      </c>
      <c r="G28" s="56" t="s">
        <v>168</v>
      </c>
      <c r="H28" s="56" t="s">
        <v>202</v>
      </c>
      <c r="I28" s="56" t="s">
        <v>202</v>
      </c>
      <c r="J28" s="57" t="s">
        <v>240</v>
      </c>
    </row>
    <row r="29" spans="1:10" s="3" customFormat="1" ht="13.5" customHeight="1">
      <c r="A29" s="38"/>
      <c r="B29" s="52">
        <f t="shared" si="0"/>
        <v>20</v>
      </c>
      <c r="C29" s="56" t="s">
        <v>31</v>
      </c>
      <c r="D29" s="54">
        <v>1</v>
      </c>
      <c r="E29" s="55" t="s">
        <v>78</v>
      </c>
      <c r="F29" s="56" t="s">
        <v>124</v>
      </c>
      <c r="G29" s="56" t="s">
        <v>169</v>
      </c>
      <c r="H29" s="56" t="s">
        <v>202</v>
      </c>
      <c r="I29" s="56" t="s">
        <v>202</v>
      </c>
      <c r="J29" s="57" t="s">
        <v>240</v>
      </c>
    </row>
    <row r="30" spans="1:10" s="3" customFormat="1" ht="13.5" customHeight="1">
      <c r="A30" s="38"/>
      <c r="B30" s="52">
        <f t="shared" si="0"/>
        <v>21</v>
      </c>
      <c r="C30" s="53" t="s">
        <v>32</v>
      </c>
      <c r="D30" s="54">
        <v>7</v>
      </c>
      <c r="E30" s="55" t="s">
        <v>79</v>
      </c>
      <c r="F30" s="56" t="s">
        <v>125</v>
      </c>
      <c r="G30" s="56" t="s">
        <v>170</v>
      </c>
      <c r="H30" s="56" t="s">
        <v>202</v>
      </c>
      <c r="I30" s="56" t="s">
        <v>202</v>
      </c>
      <c r="J30" s="57" t="s">
        <v>240</v>
      </c>
    </row>
    <row r="31" spans="1:10" s="3" customFormat="1" ht="13.5" customHeight="1">
      <c r="A31" s="38"/>
      <c r="B31" s="52">
        <f t="shared" si="0"/>
        <v>22</v>
      </c>
      <c r="C31" s="56" t="s">
        <v>33</v>
      </c>
      <c r="D31" s="54">
        <v>2</v>
      </c>
      <c r="E31" s="55" t="s">
        <v>80</v>
      </c>
      <c r="F31" s="56" t="s">
        <v>126</v>
      </c>
      <c r="G31" s="56" t="s">
        <v>171</v>
      </c>
      <c r="H31" s="56" t="s">
        <v>204</v>
      </c>
      <c r="I31" s="56" t="s">
        <v>221</v>
      </c>
      <c r="J31" s="57" t="s">
        <v>241</v>
      </c>
    </row>
    <row r="32" spans="1:10" s="3" customFormat="1" ht="13.5" customHeight="1">
      <c r="A32" s="38"/>
      <c r="B32" s="52">
        <f t="shared" si="0"/>
        <v>23</v>
      </c>
      <c r="C32" s="53" t="s">
        <v>34</v>
      </c>
      <c r="D32" s="54">
        <v>1</v>
      </c>
      <c r="E32" s="55" t="s">
        <v>81</v>
      </c>
      <c r="F32" s="56" t="s">
        <v>127</v>
      </c>
      <c r="G32" s="56" t="s">
        <v>127</v>
      </c>
      <c r="H32" s="56" t="s">
        <v>205</v>
      </c>
      <c r="I32" s="56"/>
      <c r="J32" s="57"/>
    </row>
    <row r="33" spans="1:10" s="3" customFormat="1" ht="13.5" customHeight="1">
      <c r="A33" s="38"/>
      <c r="B33" s="52">
        <f t="shared" si="0"/>
        <v>24</v>
      </c>
      <c r="C33" s="56" t="s">
        <v>35</v>
      </c>
      <c r="D33" s="54">
        <v>1</v>
      </c>
      <c r="E33" s="55" t="s">
        <v>82</v>
      </c>
      <c r="F33" s="56" t="s">
        <v>128</v>
      </c>
      <c r="G33" s="56" t="s">
        <v>172</v>
      </c>
      <c r="H33" s="56" t="s">
        <v>206</v>
      </c>
      <c r="I33" s="56" t="s">
        <v>128</v>
      </c>
      <c r="J33" s="57" t="s">
        <v>242</v>
      </c>
    </row>
    <row r="34" spans="1:10" s="3" customFormat="1" ht="13.5" customHeight="1">
      <c r="A34" s="38"/>
      <c r="B34" s="52">
        <f t="shared" si="0"/>
        <v>25</v>
      </c>
      <c r="C34" s="53" t="s">
        <v>36</v>
      </c>
      <c r="D34" s="54">
        <v>1</v>
      </c>
      <c r="E34" s="55" t="s">
        <v>83</v>
      </c>
      <c r="F34" s="56" t="s">
        <v>129</v>
      </c>
      <c r="G34" s="56" t="s">
        <v>173</v>
      </c>
      <c r="H34" s="56" t="s">
        <v>207</v>
      </c>
      <c r="I34" s="56" t="s">
        <v>129</v>
      </c>
      <c r="J34" s="57" t="s">
        <v>243</v>
      </c>
    </row>
    <row r="35" spans="1:10" s="3" customFormat="1" ht="13.5" customHeight="1">
      <c r="A35" s="38"/>
      <c r="B35" s="52">
        <f t="shared" si="0"/>
        <v>26</v>
      </c>
      <c r="C35" s="56" t="s">
        <v>37</v>
      </c>
      <c r="D35" s="54">
        <v>1</v>
      </c>
      <c r="E35" s="55" t="s">
        <v>84</v>
      </c>
      <c r="F35" s="56" t="s">
        <v>130</v>
      </c>
      <c r="G35" s="56" t="s">
        <v>174</v>
      </c>
      <c r="H35" s="56" t="s">
        <v>207</v>
      </c>
      <c r="I35" s="56" t="s">
        <v>130</v>
      </c>
      <c r="J35" s="57" t="s">
        <v>244</v>
      </c>
    </row>
    <row r="36" spans="1:10" s="3" customFormat="1" ht="13.5" customHeight="1">
      <c r="A36" s="38"/>
      <c r="B36" s="52">
        <f t="shared" si="0"/>
        <v>27</v>
      </c>
      <c r="C36" s="53" t="s">
        <v>38</v>
      </c>
      <c r="D36" s="54">
        <v>1</v>
      </c>
      <c r="E36" s="55" t="s">
        <v>85</v>
      </c>
      <c r="F36" s="56" t="s">
        <v>131</v>
      </c>
      <c r="G36" s="56" t="s">
        <v>175</v>
      </c>
      <c r="H36" s="56" t="s">
        <v>208</v>
      </c>
      <c r="I36" s="56" t="s">
        <v>222</v>
      </c>
      <c r="J36" s="57" t="s">
        <v>245</v>
      </c>
    </row>
    <row r="37" spans="1:10" s="3" customFormat="1" ht="13.5" customHeight="1">
      <c r="A37" s="38"/>
      <c r="B37" s="52">
        <f t="shared" si="0"/>
        <v>28</v>
      </c>
      <c r="C37" s="56" t="s">
        <v>39</v>
      </c>
      <c r="D37" s="54">
        <v>1</v>
      </c>
      <c r="E37" s="55" t="s">
        <v>86</v>
      </c>
      <c r="F37" s="56" t="s">
        <v>132</v>
      </c>
      <c r="G37" s="56" t="s">
        <v>176</v>
      </c>
      <c r="H37" s="56" t="s">
        <v>209</v>
      </c>
      <c r="I37" s="56" t="s">
        <v>223</v>
      </c>
      <c r="J37" s="57" t="s">
        <v>223</v>
      </c>
    </row>
    <row r="38" spans="1:10" s="3" customFormat="1" ht="13.5" customHeight="1">
      <c r="A38" s="38"/>
      <c r="B38" s="52">
        <f t="shared" si="0"/>
        <v>29</v>
      </c>
      <c r="C38" s="53" t="s">
        <v>40</v>
      </c>
      <c r="D38" s="54">
        <v>1</v>
      </c>
      <c r="E38" s="55" t="s">
        <v>87</v>
      </c>
      <c r="F38" s="56" t="s">
        <v>131</v>
      </c>
      <c r="G38" s="56" t="s">
        <v>177</v>
      </c>
      <c r="H38" s="56" t="s">
        <v>259</v>
      </c>
      <c r="I38" s="56" t="s">
        <v>260</v>
      </c>
      <c r="J38" s="57" t="s">
        <v>246</v>
      </c>
    </row>
    <row r="39" spans="1:10" s="3" customFormat="1" ht="13.5" customHeight="1">
      <c r="A39" s="38"/>
      <c r="B39" s="52">
        <f t="shared" si="0"/>
        <v>30</v>
      </c>
      <c r="C39" s="56" t="s">
        <v>41</v>
      </c>
      <c r="D39" s="54">
        <v>2</v>
      </c>
      <c r="E39" s="55" t="s">
        <v>88</v>
      </c>
      <c r="F39" s="56" t="s">
        <v>133</v>
      </c>
      <c r="G39" s="56" t="s">
        <v>178</v>
      </c>
      <c r="H39" s="56" t="s">
        <v>210</v>
      </c>
      <c r="I39" s="56" t="s">
        <v>133</v>
      </c>
      <c r="J39" s="57" t="s">
        <v>247</v>
      </c>
    </row>
    <row r="40" spans="1:10" s="3" customFormat="1" ht="13.5" customHeight="1">
      <c r="A40" s="38"/>
      <c r="B40" s="52">
        <f t="shared" si="0"/>
        <v>31</v>
      </c>
      <c r="C40" s="53" t="s">
        <v>42</v>
      </c>
      <c r="D40" s="54">
        <v>1</v>
      </c>
      <c r="E40" s="55" t="s">
        <v>89</v>
      </c>
      <c r="F40" s="56" t="s">
        <v>134</v>
      </c>
      <c r="G40" s="56" t="s">
        <v>179</v>
      </c>
      <c r="H40" s="56" t="s">
        <v>211</v>
      </c>
      <c r="I40" s="56" t="s">
        <v>224</v>
      </c>
      <c r="J40" s="57" t="s">
        <v>248</v>
      </c>
    </row>
    <row r="41" spans="1:10" s="3" customFormat="1" ht="13.5" customHeight="1">
      <c r="A41" s="38"/>
      <c r="B41" s="52">
        <f t="shared" si="0"/>
        <v>32</v>
      </c>
      <c r="C41" s="56" t="s">
        <v>43</v>
      </c>
      <c r="D41" s="54">
        <v>1</v>
      </c>
      <c r="E41" s="55" t="s">
        <v>90</v>
      </c>
      <c r="F41" s="56" t="s">
        <v>135</v>
      </c>
      <c r="G41" s="56" t="s">
        <v>180</v>
      </c>
      <c r="H41" s="56" t="s">
        <v>212</v>
      </c>
      <c r="I41" s="56" t="s">
        <v>135</v>
      </c>
      <c r="J41" s="57" t="s">
        <v>249</v>
      </c>
    </row>
    <row r="42" spans="1:10" s="3" customFormat="1" ht="13.5" customHeight="1">
      <c r="A42" s="38"/>
      <c r="B42" s="52">
        <f t="shared" si="0"/>
        <v>33</v>
      </c>
      <c r="C42" s="53" t="s">
        <v>44</v>
      </c>
      <c r="D42" s="54">
        <v>1</v>
      </c>
      <c r="E42" s="55" t="s">
        <v>91</v>
      </c>
      <c r="F42" s="56" t="s">
        <v>136</v>
      </c>
      <c r="G42" s="56" t="s">
        <v>181</v>
      </c>
      <c r="H42" s="56" t="s">
        <v>213</v>
      </c>
      <c r="I42" s="56" t="s">
        <v>136</v>
      </c>
      <c r="J42" s="57" t="s">
        <v>250</v>
      </c>
    </row>
    <row r="43" spans="1:10" s="3" customFormat="1" ht="13.5" customHeight="1">
      <c r="A43" s="38"/>
      <c r="B43" s="52">
        <f t="shared" si="0"/>
        <v>34</v>
      </c>
      <c r="C43" s="56" t="s">
        <v>45</v>
      </c>
      <c r="D43" s="54">
        <v>3</v>
      </c>
      <c r="E43" s="55" t="s">
        <v>92</v>
      </c>
      <c r="F43" s="56" t="s">
        <v>137</v>
      </c>
      <c r="G43" s="56" t="s">
        <v>182</v>
      </c>
      <c r="H43" s="56" t="s">
        <v>214</v>
      </c>
      <c r="I43" s="56" t="s">
        <v>225</v>
      </c>
      <c r="J43" s="57" t="s">
        <v>251</v>
      </c>
    </row>
    <row r="44" spans="1:10" s="3" customFormat="1" ht="13.5" customHeight="1">
      <c r="A44" s="38"/>
      <c r="B44" s="52">
        <f t="shared" si="0"/>
        <v>35</v>
      </c>
      <c r="C44" s="53" t="s">
        <v>46</v>
      </c>
      <c r="D44" s="54">
        <v>1</v>
      </c>
      <c r="E44" s="55" t="s">
        <v>93</v>
      </c>
      <c r="F44" s="56" t="s">
        <v>138</v>
      </c>
      <c r="G44" s="56" t="s">
        <v>183</v>
      </c>
      <c r="H44" s="56" t="s">
        <v>215</v>
      </c>
      <c r="I44" s="56" t="s">
        <v>138</v>
      </c>
      <c r="J44" s="57" t="s">
        <v>252</v>
      </c>
    </row>
    <row r="45" spans="1:10" s="3" customFormat="1" ht="13.5" customHeight="1">
      <c r="A45" s="38"/>
      <c r="B45" s="52">
        <f t="shared" si="0"/>
        <v>36</v>
      </c>
      <c r="C45" s="56" t="s">
        <v>47</v>
      </c>
      <c r="D45" s="54">
        <v>1</v>
      </c>
      <c r="E45" s="55" t="s">
        <v>94</v>
      </c>
      <c r="F45" s="56" t="s">
        <v>139</v>
      </c>
      <c r="G45" s="56" t="s">
        <v>184</v>
      </c>
      <c r="H45" s="56" t="s">
        <v>216</v>
      </c>
      <c r="I45" s="56" t="s">
        <v>139</v>
      </c>
      <c r="J45" s="57" t="s">
        <v>252</v>
      </c>
    </row>
    <row r="46" spans="1:10" s="3" customFormat="1" ht="13.5" customHeight="1">
      <c r="A46" s="38"/>
      <c r="B46" s="52">
        <f t="shared" si="0"/>
        <v>37</v>
      </c>
      <c r="C46" s="53" t="s">
        <v>48</v>
      </c>
      <c r="D46" s="54">
        <v>4</v>
      </c>
      <c r="E46" s="55" t="s">
        <v>95</v>
      </c>
      <c r="F46" s="56" t="s">
        <v>140</v>
      </c>
      <c r="G46" s="56" t="s">
        <v>185</v>
      </c>
      <c r="H46" s="56" t="s">
        <v>199</v>
      </c>
      <c r="I46" s="56" t="s">
        <v>140</v>
      </c>
      <c r="J46" s="57" t="s">
        <v>253</v>
      </c>
    </row>
    <row r="47" spans="1:10" s="3" customFormat="1" ht="13.5" customHeight="1">
      <c r="A47" s="38"/>
      <c r="B47" s="52">
        <f t="shared" si="0"/>
        <v>38</v>
      </c>
      <c r="C47" s="56" t="s">
        <v>49</v>
      </c>
      <c r="D47" s="54">
        <v>4</v>
      </c>
      <c r="E47" s="55" t="s">
        <v>96</v>
      </c>
      <c r="F47" s="56" t="s">
        <v>141</v>
      </c>
      <c r="G47" s="56" t="s">
        <v>186</v>
      </c>
      <c r="H47" s="56" t="s">
        <v>217</v>
      </c>
      <c r="I47" s="56" t="s">
        <v>141</v>
      </c>
      <c r="J47" s="57" t="s">
        <v>254</v>
      </c>
    </row>
    <row r="48" spans="1:10" s="3" customFormat="1" ht="13.5" customHeight="1">
      <c r="A48" s="38"/>
      <c r="B48" s="52">
        <f t="shared" si="0"/>
        <v>39</v>
      </c>
      <c r="C48" s="53" t="s">
        <v>50</v>
      </c>
      <c r="D48" s="54">
        <v>1</v>
      </c>
      <c r="E48" s="55" t="s">
        <v>97</v>
      </c>
      <c r="F48" s="56" t="s">
        <v>142</v>
      </c>
      <c r="G48" s="56" t="s">
        <v>142</v>
      </c>
      <c r="H48" s="56" t="s">
        <v>205</v>
      </c>
      <c r="I48" s="56"/>
      <c r="J48" s="57"/>
    </row>
    <row r="49" spans="1:10" s="3" customFormat="1" ht="13.5" customHeight="1">
      <c r="A49" s="38"/>
      <c r="B49" s="52">
        <f t="shared" si="0"/>
        <v>40</v>
      </c>
      <c r="C49" s="56" t="s">
        <v>51</v>
      </c>
      <c r="D49" s="54">
        <v>1</v>
      </c>
      <c r="E49" s="55" t="s">
        <v>98</v>
      </c>
      <c r="F49" s="56" t="s">
        <v>143</v>
      </c>
      <c r="G49" s="56" t="s">
        <v>187</v>
      </c>
      <c r="H49" s="56" t="s">
        <v>194</v>
      </c>
      <c r="I49" s="56" t="s">
        <v>143</v>
      </c>
      <c r="J49" s="57" t="s">
        <v>255</v>
      </c>
    </row>
    <row r="50" spans="1:10" s="3" customFormat="1" ht="13.5" customHeight="1">
      <c r="A50" s="38"/>
      <c r="B50" s="52">
        <f t="shared" si="0"/>
        <v>41</v>
      </c>
      <c r="C50" s="53" t="s">
        <v>52</v>
      </c>
      <c r="D50" s="54">
        <v>9</v>
      </c>
      <c r="E50" s="55" t="s">
        <v>99</v>
      </c>
      <c r="F50" s="56" t="s">
        <v>144</v>
      </c>
      <c r="G50" s="56" t="s">
        <v>188</v>
      </c>
      <c r="H50" s="56" t="s">
        <v>202</v>
      </c>
      <c r="I50" s="56" t="s">
        <v>202</v>
      </c>
      <c r="J50" s="57" t="s">
        <v>256</v>
      </c>
    </row>
    <row r="51" spans="1:10" s="3" customFormat="1" ht="13.5" customHeight="1">
      <c r="A51" s="38"/>
      <c r="B51" s="52">
        <f t="shared" si="0"/>
        <v>42</v>
      </c>
      <c r="C51" s="56" t="s">
        <v>53</v>
      </c>
      <c r="D51" s="54">
        <v>3</v>
      </c>
      <c r="E51" s="55" t="s">
        <v>100</v>
      </c>
      <c r="F51" s="56" t="s">
        <v>145</v>
      </c>
      <c r="G51" s="56" t="s">
        <v>189</v>
      </c>
      <c r="H51" s="56" t="s">
        <v>202</v>
      </c>
      <c r="I51" s="56" t="s">
        <v>202</v>
      </c>
      <c r="J51" s="57" t="s">
        <v>257</v>
      </c>
    </row>
    <row r="52" spans="1:10" s="3" customFormat="1" ht="13.5" customHeight="1">
      <c r="A52" s="38"/>
      <c r="B52" s="52">
        <f t="shared" si="0"/>
        <v>43</v>
      </c>
      <c r="C52" s="53" t="s">
        <v>54</v>
      </c>
      <c r="D52" s="54">
        <v>15</v>
      </c>
      <c r="E52" s="55" t="s">
        <v>101</v>
      </c>
      <c r="F52" s="56" t="s">
        <v>146</v>
      </c>
      <c r="G52" s="56" t="s">
        <v>190</v>
      </c>
      <c r="H52" s="56" t="s">
        <v>202</v>
      </c>
      <c r="I52" s="56" t="s">
        <v>202</v>
      </c>
      <c r="J52" s="57" t="s">
        <v>257</v>
      </c>
    </row>
    <row r="53" spans="1:10" s="3" customFormat="1" ht="13.5" customHeight="1">
      <c r="A53" s="38"/>
      <c r="B53" s="52">
        <f t="shared" si="0"/>
        <v>44</v>
      </c>
      <c r="C53" s="56" t="s">
        <v>55</v>
      </c>
      <c r="D53" s="54">
        <v>4</v>
      </c>
      <c r="E53" s="55" t="s">
        <v>102</v>
      </c>
      <c r="F53" s="56" t="s">
        <v>147</v>
      </c>
      <c r="G53" s="56" t="s">
        <v>191</v>
      </c>
      <c r="H53" s="56" t="s">
        <v>203</v>
      </c>
      <c r="I53" s="56" t="s">
        <v>226</v>
      </c>
      <c r="J53" s="57" t="s">
        <v>258</v>
      </c>
    </row>
    <row r="54" spans="1:10" s="3" customFormat="1" ht="13.5" customHeight="1">
      <c r="A54" s="38"/>
      <c r="B54" s="52">
        <f t="shared" si="0"/>
        <v>45</v>
      </c>
      <c r="C54" s="53" t="s">
        <v>56</v>
      </c>
      <c r="D54" s="54">
        <v>1</v>
      </c>
      <c r="E54" s="55" t="s">
        <v>103</v>
      </c>
      <c r="F54" s="56" t="s">
        <v>148</v>
      </c>
      <c r="G54" s="56" t="s">
        <v>192</v>
      </c>
      <c r="H54" s="56" t="s">
        <v>218</v>
      </c>
      <c r="I54" s="56" t="s">
        <v>227</v>
      </c>
      <c r="J54" s="57"/>
    </row>
    <row r="55" spans="1:10">
      <c r="A55" s="38"/>
      <c r="B55" s="46" t="s">
        <v>4</v>
      </c>
      <c r="C55" s="47"/>
      <c r="D55" s="45" t="s">
        <v>10</v>
      </c>
      <c r="E55" s="30"/>
      <c r="F55" s="5" t="s">
        <v>5</v>
      </c>
      <c r="G55" s="23"/>
      <c r="H55" s="23"/>
      <c r="I55" s="23"/>
      <c r="J55" s="27"/>
    </row>
    <row r="56" spans="1:10">
      <c r="A56" s="38"/>
      <c r="B56" s="8"/>
      <c r="C56" s="8"/>
      <c r="D56" s="7"/>
      <c r="E56" s="9"/>
      <c r="F56" s="6"/>
      <c r="G56" s="6"/>
      <c r="H56" s="6"/>
      <c r="I56" s="6"/>
      <c r="J56" s="9"/>
    </row>
    <row r="57" spans="1:10">
      <c r="A57" s="38"/>
      <c r="B57" s="8"/>
      <c r="C57" s="8"/>
      <c r="D57" s="8" t="s">
        <v>261</v>
      </c>
      <c r="E57" s="10"/>
      <c r="F57" s="7"/>
      <c r="G57" s="7"/>
      <c r="H57" s="7"/>
      <c r="I57" s="7"/>
      <c r="J57" s="10"/>
    </row>
    <row r="58" spans="1:10">
      <c r="A58" s="38"/>
      <c r="B58" s="8"/>
      <c r="C58" s="8"/>
      <c r="D58" s="8"/>
      <c r="E58" s="10"/>
      <c r="F58" s="7"/>
      <c r="G58" s="7"/>
      <c r="H58" s="7"/>
      <c r="I58" s="7"/>
      <c r="J58" s="10" t="s">
        <v>7</v>
      </c>
    </row>
    <row r="59" spans="1:10">
      <c r="A59" s="39"/>
      <c r="B59" s="28"/>
      <c r="C59" s="29"/>
      <c r="D59" s="29"/>
      <c r="E59" s="30"/>
      <c r="F59" s="31"/>
      <c r="G59" s="31"/>
      <c r="H59" s="31"/>
      <c r="I59" s="31"/>
      <c r="J59" s="30"/>
    </row>
    <row r="61" spans="1:10">
      <c r="C61" s="1"/>
      <c r="D61" s="1"/>
      <c r="E61" s="1"/>
    </row>
    <row r="62" spans="1:10">
      <c r="C62" s="1"/>
      <c r="D62" s="1"/>
      <c r="E62" s="1"/>
    </row>
    <row r="63" spans="1:10">
      <c r="C63" s="1"/>
      <c r="D63" s="1"/>
      <c r="E63" s="1"/>
    </row>
  </sheetData>
  <mergeCells count="4">
    <mergeCell ref="B55:C55"/>
    <mergeCell ref="F3:H3"/>
    <mergeCell ref="F4:H4"/>
    <mergeCell ref="F5:H5"/>
  </mergeCells>
  <phoneticPr fontId="0" type="noConversion"/>
  <pageMargins left="0.46" right="0.36" top="0.57999999999999996" bottom="1" header="0.5" footer="0.5"/>
  <pageSetup paperSize="9" scale="53" orientation="portrait" r:id="rId1"/>
  <headerFooter alignWithMargins="0">
    <oddFooter>&amp;L&amp;BAltium Limited Confidential&amp;B&amp;C&amp;D&amp;RPage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AA61F2A40D349A6E54D0A5525FAF6" ma:contentTypeVersion="14" ma:contentTypeDescription="Create a new document." ma:contentTypeScope="" ma:versionID="17f79f8cc7356b3bb503071366f9a22f">
  <xsd:schema xmlns:xsd="http://www.w3.org/2001/XMLSchema" xmlns:xs="http://www.w3.org/2001/XMLSchema" xmlns:p="http://schemas.microsoft.com/office/2006/metadata/properties" xmlns:ns2="c76f9cab-ae67-4dd2-ae0f-1314d2e94366" xmlns:ns3="5e6d92ee-18c8-4598-85c5-3bd18e311fdd" targetNamespace="http://schemas.microsoft.com/office/2006/metadata/properties" ma:root="true" ma:fieldsID="f2a1c9b4d8bebac2561432a738772f66" ns2:_="" ns3:_="">
    <xsd:import namespace="c76f9cab-ae67-4dd2-ae0f-1314d2e94366"/>
    <xsd:import namespace="5e6d92ee-18c8-4598-85c5-3bd18e311f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9cab-ae67-4dd2-ae0f-1314d2e94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5812c5f-eac8-4ea2-8813-18f5a3ba6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92ee-18c8-4598-85c5-3bd18e311fd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501073-31b1-4b43-843b-2126050d1ad6}" ma:internalName="TaxCatchAll" ma:showField="CatchAllData" ma:web="5e6d92ee-18c8-4598-85c5-3bd18e311f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6d92ee-18c8-4598-85c5-3bd18e311fdd"/>
    <lcf76f155ced4ddcb4097134ff3c332f xmlns="c76f9cab-ae67-4dd2-ae0f-1314d2e94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ED6E3B-ADD8-4540-9BE1-02AA75645C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E9E64-6AD3-4B03-B416-6A55B9E0B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6f9cab-ae67-4dd2-ae0f-1314d2e94366"/>
    <ds:schemaRef ds:uri="5e6d92ee-18c8-4598-85c5-3bd18e311f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ED978C-4B9A-4FD5-BEBE-DF601938848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List Report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Zvonc</dc:creator>
  <cp:lastModifiedBy>Antonio Duracic</cp:lastModifiedBy>
  <cp:lastPrinted>2013-12-02T13:10:40Z</cp:lastPrinted>
  <dcterms:created xsi:type="dcterms:W3CDTF">2002-11-05T15:28:02Z</dcterms:created>
  <dcterms:modified xsi:type="dcterms:W3CDTF">2026-01-27T22:28:49Z</dcterms:modified>
</cp:coreProperties>
</file>